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ditamrapshtija\Documents\DataAnalytics\pre-week-2\"/>
    </mc:Choice>
  </mc:AlternateContent>
  <xr:revisionPtr revIDLastSave="0" documentId="8_{747A686B-F829-4E01-9DC9-EEEE963C8629}" xr6:coauthVersionLast="47" xr6:coauthVersionMax="47" xr10:uidLastSave="{00000000-0000-0000-0000-000000000000}"/>
  <bookViews>
    <workbookView xWindow="-108" yWindow="-108" windowWidth="23256" windowHeight="13896" xr2:uid="{16C788F9-52D8-4337-B56F-51A7ABED966F}"/>
  </bookViews>
  <sheets>
    <sheet name="Store_Data" sheetId="1" r:id="rId1"/>
    <sheet name="Store__Summary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6" i="1" l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<sst xmlns="http://purl.oclc.org/ooxml/spreadsheetml/main" count="26" uniqueCount="26">
  <si>
    <t>Store</t>
  </si>
  <si>
    <t>Monthly Sales</t>
  </si>
  <si>
    <t xml:space="preserve">Statistics </t>
  </si>
  <si>
    <t xml:space="preserve">All Stores </t>
  </si>
  <si>
    <t>without Store H</t>
  </si>
  <si>
    <t>Store A</t>
  </si>
  <si>
    <t>Mean</t>
  </si>
  <si>
    <t>Store B</t>
  </si>
  <si>
    <t>Median</t>
  </si>
  <si>
    <t>Store C</t>
  </si>
  <si>
    <t>Mode</t>
  </si>
  <si>
    <t>Store D</t>
  </si>
  <si>
    <t>Range</t>
  </si>
  <si>
    <t>Store E</t>
  </si>
  <si>
    <t>St.Dev</t>
  </si>
  <si>
    <t>Store F</t>
  </si>
  <si>
    <t>Store G</t>
  </si>
  <si>
    <t>Store H</t>
  </si>
  <si>
    <t>Store I</t>
  </si>
  <si>
    <t>Store J</t>
  </si>
  <si>
    <t>Store K</t>
  </si>
  <si>
    <t>Store L</t>
  </si>
  <si>
    <t>a) The store averaged around 49 sales monthly. Without Store H the sales dropped to 47 sales/month.</t>
  </si>
  <si>
    <t>b) The store is mostly tighlty grouped and the sales are consistent with the exception of Store H.</t>
  </si>
  <si>
    <t>c) Store H significantly increases the value with its 72 monthly sales. We can also see this when looking at the drop in standart deviation when comparing values without Store H.</t>
  </si>
  <si>
    <t>d)I would want historical sales data, information about promotions or special events, and details about store size and location. This would help explain the variation in sales and determine why Store H performed significantly better than the other stores.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</si>
</sst>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387B-FDED-4F3C-A5BA-CD51A84A7CA7}">
  <dimension ref="A1:F13"/>
  <sheetViews>
    <sheetView tabSelected="1" workbookViewId="0"/>
  </sheetViews>
  <sheetFormatPr defaultRowHeight="14.4" x14ac:dyDescent="0.3"/>
  <cols>
    <col min="1" max="1" width="8.88671875" customWidth="1"/>
    <col min="2" max="2" width="8.88671875" style="1" customWidth="1"/>
    <col min="3" max="3" width="8.88671875" customWidth="1"/>
    <col min="4" max="4" width="8.88671875" style="1" customWidth="1"/>
    <col min="5" max="5" width="8.88671875" customWidth="1"/>
  </cols>
  <sheetData>
    <row r="1" spans="1:6" ht="28.8" x14ac:dyDescent="0.3">
      <c r="A1" t="s">
        <v>0</v>
      </c>
      <c r="B1" s="1" t="s">
        <v>1</v>
      </c>
      <c r="D1" s="1" t="s">
        <v>2</v>
      </c>
      <c r="E1" t="s">
        <v>3</v>
      </c>
      <c r="F1" s="1" t="s">
        <v>4</v>
      </c>
    </row>
    <row r="2" spans="1:6" x14ac:dyDescent="0.3">
      <c r="A2" t="s">
        <v>5</v>
      </c>
      <c r="B2" s="1">
        <v>51</v>
      </c>
      <c r="D2" s="1" t="s">
        <v>6</v>
      </c>
      <c r="E2">
        <f>AVERAGE(B2:B13)</f>
        <v>49.416666666666664</v>
      </c>
      <c r="F2">
        <f>AVERAGE(B2:B8,B10:B13)</f>
        <v>47.363636363636367</v>
      </c>
    </row>
    <row r="3" spans="1:6" x14ac:dyDescent="0.3">
      <c r="A3" t="s">
        <v>7</v>
      </c>
      <c r="B3" s="1">
        <v>44</v>
      </c>
      <c r="D3" s="1" t="s">
        <v>8</v>
      </c>
      <c r="E3">
        <f>MEDIAN(B2:B13)</f>
        <v>47.5</v>
      </c>
      <c r="F3">
        <f>MEDIAN(B2:B8,B10:B13)</f>
        <v>47</v>
      </c>
    </row>
    <row r="4" spans="1:6" x14ac:dyDescent="0.3">
      <c r="A4" t="s">
        <v>9</v>
      </c>
      <c r="B4" s="1">
        <v>49</v>
      </c>
      <c r="D4" s="1" t="s">
        <v>10</v>
      </c>
      <c r="E4">
        <f>_xlfn.MODE.SNGL(B2:B13)</f>
        <v>46</v>
      </c>
      <c r="F4">
        <f>_xlfn.MODE.SNGL(B2:B8,B10:B13)</f>
        <v>46</v>
      </c>
    </row>
    <row r="5" spans="1:6" x14ac:dyDescent="0.3">
      <c r="A5" t="s">
        <v>11</v>
      </c>
      <c r="B5" s="1">
        <v>46</v>
      </c>
      <c r="D5" s="1" t="s">
        <v>12</v>
      </c>
      <c r="E5">
        <f>MAX(B2:B13)- MIN(B2:B13)</f>
        <v>29</v>
      </c>
      <c r="F5">
        <f>MAX(B2:B8,B10:B13)- MIN(B2:B8,B10:B13)</f>
        <v>9</v>
      </c>
    </row>
    <row r="6" spans="1:6" x14ac:dyDescent="0.3">
      <c r="A6" t="s">
        <v>13</v>
      </c>
      <c r="B6" s="1">
        <v>52</v>
      </c>
      <c r="D6" s="1" t="s">
        <v>14</v>
      </c>
      <c r="E6">
        <f>_xlfn.STDEV.S(B2:B13)</f>
        <v>7.6331613054586773</v>
      </c>
      <c r="F6">
        <f>_xlfn.STDEV.S(B2:B8,B10:B13)</f>
        <v>2.9076701075853588</v>
      </c>
    </row>
    <row r="7" spans="1:6" x14ac:dyDescent="0.3">
      <c r="A7" t="s">
        <v>15</v>
      </c>
      <c r="B7" s="1">
        <v>47</v>
      </c>
    </row>
    <row r="8" spans="1:6" x14ac:dyDescent="0.3">
      <c r="A8" t="s">
        <v>16</v>
      </c>
      <c r="B8" s="1">
        <v>45</v>
      </c>
    </row>
    <row r="9" spans="1:6" x14ac:dyDescent="0.3">
      <c r="A9" t="s">
        <v>17</v>
      </c>
      <c r="B9" s="1">
        <v>72</v>
      </c>
    </row>
    <row r="10" spans="1:6" x14ac:dyDescent="0.3">
      <c r="A10" t="s">
        <v>18</v>
      </c>
      <c r="B10" s="1">
        <v>43</v>
      </c>
    </row>
    <row r="11" spans="1:6" x14ac:dyDescent="0.3">
      <c r="A11" t="s">
        <v>19</v>
      </c>
      <c r="B11" s="1">
        <v>48</v>
      </c>
    </row>
    <row r="12" spans="1:6" x14ac:dyDescent="0.3">
      <c r="A12" t="s">
        <v>20</v>
      </c>
      <c r="B12" s="1">
        <v>46</v>
      </c>
    </row>
    <row r="13" spans="1:6" x14ac:dyDescent="0.3">
      <c r="A13" t="s">
        <v>21</v>
      </c>
      <c r="B13" s="1">
        <v>50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020C-FCD7-44FF-AE57-85EDF3F05606}">
  <dimension ref="A1:A4"/>
  <sheetViews>
    <sheetView workbookViewId="0"/>
  </sheetViews>
  <sheetFormatPr defaultRowHeight="14.4" x14ac:dyDescent="0.3"/>
  <cols>
    <col min="1" max="1" width="88.88671875" customWidth="1"/>
    <col min="2" max="2" width="8.88671875" customWidth="1"/>
  </cols>
  <sheetData>
    <row r="1" spans="1:1" s="1" customFormat="1" x14ac:dyDescent="0.3">
      <c r="A1" s="1" t="s">
        <v>22</v>
      </c>
    </row>
    <row r="2" spans="1:1" x14ac:dyDescent="0.3">
      <c r="A2" t="s">
        <v>23</v>
      </c>
    </row>
    <row r="3" spans="1:1" s="1" customFormat="1" ht="28.8" x14ac:dyDescent="0.3">
      <c r="A3" s="1" t="s">
        <v>24</v>
      </c>
    </row>
    <row r="4" spans="1:1" s="1" customFormat="1" ht="43.2" x14ac:dyDescent="0.3">
      <c r="A4" s="1" t="s">
        <v>25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mrapshtija</dc:creator>
  <cp:lastModifiedBy>ardita mrapshtija</cp:lastModifiedBy>
  <dcterms:created xsi:type="dcterms:W3CDTF">2026-10-05T15:11:19Z</dcterms:created>
  <dcterms:modified xsi:type="dcterms:W3CDTF">2026-10-05T15:52:36Z</dcterms:modified>
</cp:coreProperties>
</file>