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week-01\"/>
    </mc:Choice>
  </mc:AlternateContent>
  <xr:revisionPtr revIDLastSave="0" documentId="13_ncr:9_{4C14DD54-F290-49D0-BA8C-B0A8BBD50223}" xr6:coauthVersionLast="47" xr6:coauthVersionMax="47" xr10:uidLastSave="{00000000-0000-0000-0000-000000000000}"/>
  <bookViews>
    <workbookView xWindow="-108" yWindow="-108" windowWidth="23256" windowHeight="13896" activeTab="2" xr2:uid="{147AF880-4ED6-4AE9-905E-A4DF06E68478}"/>
  </bookViews>
  <sheets>
    <sheet name="by search term" sheetId="1" r:id="rId1"/>
    <sheet name="by state" sheetId="2" r:id="rId2"/>
    <sheet name="sales region lookup" sheetId="4" r:id="rId3"/>
  </sheets>
  <definedNames>
    <definedName name="_xlnm._FilterDatabase" localSheetId="0" hidden="1">'by search term'!$A$1:$E$52</definedName>
  </definedNames>
  <calcPr calcId="191029"/>
  <pivotCaches>
    <pivotCache cacheId="31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<sst xmlns="http://purl.oclc.org/ooxml/spreadsheetml/main" count="155" uniqueCount="69">
  <si>
    <t>Region</t>
  </si>
  <si>
    <t>North Carolina</t>
  </si>
  <si>
    <t>South Carolina</t>
  </si>
  <si>
    <t>Kentucky</t>
  </si>
  <si>
    <t>Tennessee</t>
  </si>
  <si>
    <t>Alabama</t>
  </si>
  <si>
    <t>Indiana</t>
  </si>
  <si>
    <t>Utah</t>
  </si>
  <si>
    <t>Rhode Island</t>
  </si>
  <si>
    <t>Virginia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</si>
  <si>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</si>
  <si>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</si>
  <si>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</si>
  <si>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</si>
  <si>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</si>
  <si>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</si>
  <si>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</si>
  <si>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</si>
  <si>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Florida</t>
  </si>
  <si>
    <t>Connecticut</t>
  </si>
  <si>
    <t>New Jersey</t>
  </si>
  <si>
    <t>Missouri</t>
  </si>
  <si>
    <t>Nevada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</si>
  <si>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</si>
  <si>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</si>
  <si>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</si>
  <si>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</si>
  <si>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</si>
  <si>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</si>
  <si>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</si>
  <si>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</si>
  <si>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</si>
  <si>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</si>
  <si>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California</t>
  </si>
  <si>
    <t>North Dakota</t>
  </si>
  <si>
    <t>Minnesota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</si>
  <si>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</si>
  <si>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</si>
  <si>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</si>
  <si>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</si>
  <si>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</si>
  <si>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</si>
  <si>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</si>
  <si>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</si>
  <si>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</si>
  <si>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</si>
  <si>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</si>
  <si>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</si>
  <si>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</si>
  <si>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</si>
  <si>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</si>
  <si>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</si>
  <si>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</si>
  <si>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</si>
  <si>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</si>
  <si>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</si>
  <si>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</si>
  <si>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</si>
  <si>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</si>
  <si>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</si>
  <si>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</si>
  <si>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</si>
  <si>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</si>
  <si>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</si>
  <si>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</si>
  <si>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</si>
  <si>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</si>
  <si>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</si>
  <si>
    <t>Column1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</si>
</sst>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42" applyFont="1"/>
    <xf numFmtId="0" fontId="0" fillId="0" borderId="0" xfId="0" pivotButt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C-4115-8239-624B9C305378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C-4115-8239-624B9C30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285264"/>
        <c:axId val="896152496"/>
      </c:barChart>
      <c:catAx>
        <c:axId val="106428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52496"/>
        <c:crosses val="autoZero"/>
        <c:auto val="1"/>
        <c:lblAlgn val="ctr"/>
        <c:lblOffset val="100"/>
        <c:noMultiLvlLbl val="0"/>
      </c:catAx>
      <c:valAx>
        <c:axId val="8961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28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182880</xdr:colOff>
      <xdr:row>10</xdr:row>
      <xdr:rowOff>171450</xdr:rowOff>
    </xdr:from>
    <xdr:to>
      <xdr:col>12</xdr:col>
      <xdr:colOff>487680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6BA09-E234-D252-E788-41D0F63A0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ardita mrapshtija" refreshedDateIso="2026-10-16T05:26:43.850000048987567625" createdVersion="8" refreshedVersion="8" minRefreshableVersion="3" recordCount="10" xr:uid="{148EDDD0-CB3C-431D-A6C5-62063CB39716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 count="6">
        <n v="0.67"/>
        <n v="0.69"/>
        <n v="0.68"/>
        <n v="0.75"/>
        <n v="0.66"/>
        <n v="0.65"/>
      </sharedItems>
    </cacheField>
    <cacheField name="Milkshake" numFmtId="9">
      <sharedItems containsSemiMixedTypes="0" containsString="0" containsNumber="1" minValue="0.14000000000000001" maxValue="0.21" count="6">
        <n v="0.18"/>
        <n v="0.19"/>
        <n v="0.14000000000000001"/>
        <n v="0.17"/>
        <n v="0.2"/>
        <n v="0.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x v="0"/>
    <x v="0"/>
    <x v="0"/>
  </r>
  <r>
    <x v="1"/>
    <x v="0"/>
    <x v="1"/>
    <x v="0"/>
  </r>
  <r>
    <x v="2"/>
    <x v="0"/>
    <x v="2"/>
    <x v="1"/>
  </r>
  <r>
    <x v="3"/>
    <x v="0"/>
    <x v="3"/>
    <x v="2"/>
  </r>
  <r>
    <x v="4"/>
    <x v="1"/>
    <x v="1"/>
    <x v="1"/>
  </r>
  <r>
    <x v="5"/>
    <x v="1"/>
    <x v="3"/>
    <x v="2"/>
  </r>
  <r>
    <x v="6"/>
    <x v="1"/>
    <x v="1"/>
    <x v="3"/>
  </r>
  <r>
    <x v="7"/>
    <x v="1"/>
    <x v="0"/>
    <x v="1"/>
  </r>
  <r>
    <x v="8"/>
    <x v="1"/>
    <x v="4"/>
    <x v="4"/>
  </r>
  <r>
    <x v="9"/>
    <x v="1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AF07219-095C-49C7-86E8-6C4269B9708C}" name="PivotTable1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numFmtId="9" showAll="0">
      <items count="7">
        <item x="5"/>
        <item x="4"/>
        <item x="0"/>
        <item x="2"/>
        <item x="1"/>
        <item x="3"/>
        <item t="default"/>
      </items>
    </pivotField>
    <pivotField dataField="1" numFmtId="9" showAll="0">
      <items count="7">
        <item x="2"/>
        <item x="3"/>
        <item x="0"/>
        <item x="1"/>
        <item x="4"/>
        <item x="5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D29BEE2E-7C86-46C7-997C-848328F711C9}" name="Table1" displayName="Table1" ref="A1:F52" totalsRowShown="0">
  <autoFilter ref="A1:F52" xr:uid="{D29BEE2E-7C86-46C7-997C-848328F711C9}"/>
  <tableColumns count="6">
    <tableColumn id="1" xr3:uid="{3919101D-146E-4B62-AA6C-79F793BE1B99}" name="RegionID"/>
    <tableColumn id="2" xr3:uid="{2DC2CF67-68BA-48F0-BA39-9DAEF140B537}" name="Region"/>
    <tableColumn id="3" xr3:uid="{528E1CEC-D0C3-4282-BEF3-89005D238950}" name="Hamburger" dataDxfId="55"/>
    <tableColumn id="4" xr3:uid="{979FBAAD-30A8-47FD-B1C5-027314FE64BA}" name="Milkshake" dataDxfId="54"/>
    <tableColumn id="5" xr3:uid="{B68A6B62-5AB2-40B5-8A0F-A08F0C9419DB}" name="Breakup" dataDxfId="53"/>
    <tableColumn id="6" xr3:uid="{F3AAB488-2EA7-42D7-92B4-711F032B7B9A}" name="Column1"/>
  </tableColumns>
  <tableStyleInfo name="TableStyleLight21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2C7D054D-9AC7-41B5-980D-83996DDD75C3}" name="Table2" displayName="Table2" ref="A1:AZ4" totalsRowShown="0">
  <autoFilter ref="A1:AZ4" xr:uid="{2C7D054D-9AC7-41B5-980D-83996DDD75C3}"/>
  <tableColumns count="52">
    <tableColumn id="1" xr3:uid="{EC5F0AE0-C4ED-4632-AA58-429B1A05959A}" name="Region"/>
    <tableColumn id="2" xr3:uid="{E014E10E-B5A7-40AB-BB09-B33FA814DEDB}" name="Alabama" dataDxfId="52"/>
    <tableColumn id="3" xr3:uid="{08EAD224-39BB-4ED7-A510-CC75FD21B181}" name="Alaska" dataDxfId="51"/>
    <tableColumn id="4" xr3:uid="{CE12441D-8CA3-40FB-BB13-273CEAEA36BC}" name="Arizona" dataDxfId="50"/>
    <tableColumn id="5" xr3:uid="{5496AA2E-B709-4474-889A-AFC37623E196}" name="Arkansas" dataDxfId="49"/>
    <tableColumn id="6" xr3:uid="{C1E84B28-C6D3-4A17-8699-314C59548C7B}" name="California" dataDxfId="48"/>
    <tableColumn id="7" xr3:uid="{F25F6AC2-9D19-4ADC-8571-B3A0EBDFDFE1}" name="Colorado" dataDxfId="47"/>
    <tableColumn id="8" xr3:uid="{C335067C-847D-46F7-B93E-CA8C751177A1}" name="Connecticut" dataDxfId="46"/>
    <tableColumn id="9" xr3:uid="{79F936DF-E7D1-4875-AB3D-978E357F7EA0}" name="Delaware" dataDxfId="45"/>
    <tableColumn id="10" xr3:uid="{2672CC2D-DAC8-4CF8-B946-11EBD6FD4D3E}" name="District of Columbia" dataDxfId="44"/>
    <tableColumn id="11" xr3:uid="{A7023EC2-4699-4C61-807D-BA28115658D6}" name="Florida" dataDxfId="43"/>
    <tableColumn id="12" xr3:uid="{AD2D7E13-825F-4536-BCF5-439769F1D1AA}" name="Georgia" dataDxfId="42"/>
    <tableColumn id="13" xr3:uid="{9FA2B8B6-7C57-4852-B05D-0411DAF0981C}" name="Hawaii" dataDxfId="41"/>
    <tableColumn id="14" xr3:uid="{F0B9D998-66A0-4276-9579-358A5FCCD0F5}" name="Idaho" dataDxfId="40"/>
    <tableColumn id="15" xr3:uid="{D16E6F48-0220-4DDB-90CF-BFA62CF843B3}" name="Illinois" dataDxfId="39"/>
    <tableColumn id="16" xr3:uid="{802C7D3B-711D-4AEC-B717-75EC66F90CEF}" name="Indiana" dataDxfId="38"/>
    <tableColumn id="17" xr3:uid="{71A47F1B-EB98-40F5-ACB0-B41FB752AF12}" name="Iowa" dataDxfId="37"/>
    <tableColumn id="18" xr3:uid="{931F9FB5-B7D3-4CE5-AA56-04FC079E220A}" name="Kansas" dataDxfId="36"/>
    <tableColumn id="19" xr3:uid="{D1584A14-4AA7-4A58-9B2F-C53DBDBC45F6}" name="Kentucky" dataDxfId="35"/>
    <tableColumn id="20" xr3:uid="{B24F2AE5-8DDE-4010-8F97-F20A9293510C}" name="Louisiana" dataDxfId="34"/>
    <tableColumn id="21" xr3:uid="{8BE15F24-C42E-43AB-9232-1ABA3D32918F}" name="Maine" dataDxfId="33"/>
    <tableColumn id="22" xr3:uid="{7EE51738-CA28-4919-9468-77675EE429A8}" name="Maryland" dataDxfId="32"/>
    <tableColumn id="23" xr3:uid="{45212537-88CC-49D7-9910-112BCF95A31D}" name="Massachusetts" dataDxfId="31"/>
    <tableColumn id="24" xr3:uid="{98512760-02AB-47F6-A915-D61553E35477}" name="Michigan" dataDxfId="30"/>
    <tableColumn id="25" xr3:uid="{F03227AE-C0C3-4EB7-A662-13EDEEF86206}" name="Minnesota" dataDxfId="29"/>
    <tableColumn id="26" xr3:uid="{5DDA3AEB-EF8D-4AD9-88AC-3AB721198B36}" name="Mississippi" dataDxfId="28"/>
    <tableColumn id="27" xr3:uid="{2537C099-EC84-47E7-8FA5-8694068747AF}" name="Missouri" dataDxfId="27"/>
    <tableColumn id="28" xr3:uid="{3D712633-031E-4059-A6F6-3B4EEAAF8C1C}" name="Montana" dataDxfId="26"/>
    <tableColumn id="29" xr3:uid="{0F580A6F-F3BF-405E-89F4-FB1096086CB9}" name="Nebraska" dataDxfId="25"/>
    <tableColumn id="30" xr3:uid="{454BFC1E-2D5A-4EC2-89F1-0945F04F2785}" name="Nevada" dataDxfId="24"/>
    <tableColumn id="31" xr3:uid="{6A9F92A4-1D4B-43CE-BB9B-F9F3D9C6D096}" name="New Hampshire" dataDxfId="23"/>
    <tableColumn id="32" xr3:uid="{BE80FC30-FA77-40FB-AA05-982B0CA67461}" name="New Jersey" dataDxfId="22"/>
    <tableColumn id="33" xr3:uid="{C8A00000-B7C7-4B6A-99CF-B73B1556A65E}" name="New Mexico" dataDxfId="21"/>
    <tableColumn id="34" xr3:uid="{1354FAF4-A38B-413C-9717-FB4F41603737}" name="New York" dataDxfId="20"/>
    <tableColumn id="35" xr3:uid="{EEDA63AC-6E04-469C-969D-38CC94A3AE4C}" name="North Carolina" dataDxfId="19"/>
    <tableColumn id="36" xr3:uid="{458CBA3D-5DF0-4BAF-A423-B18132BE510A}" name="North Dakota" dataDxfId="18"/>
    <tableColumn id="37" xr3:uid="{02209775-5803-4EB9-897E-6663556DB935}" name="Ohio" dataDxfId="17"/>
    <tableColumn id="38" xr3:uid="{E42DC42F-2A32-4699-9B45-DD6F1DED3FF1}" name="Oklahoma" dataDxfId="16"/>
    <tableColumn id="39" xr3:uid="{3A7A1706-CE96-410D-B45A-8374D5BE75D4}" name="Oregon" dataDxfId="15"/>
    <tableColumn id="40" xr3:uid="{BA832E6F-CB3A-4CE4-80D9-9CCE2894E3C5}" name="Pennsylvania" dataDxfId="14"/>
    <tableColumn id="41" xr3:uid="{757E881C-E5F3-482D-B35B-9E6FE6CF8C3B}" name="Rhode Island" dataDxfId="13"/>
    <tableColumn id="42" xr3:uid="{E9E96FC6-73EF-49FC-8D74-9A3BE5D1226D}" name="South Carolina" dataDxfId="12"/>
    <tableColumn id="43" xr3:uid="{E7E9126C-D74D-42F7-92D0-1022D0EC6BDD}" name="South Dakota" dataDxfId="11"/>
    <tableColumn id="44" xr3:uid="{A81DD523-8237-4FEF-AC57-307B610FBC44}" name="Tennessee" dataDxfId="10"/>
    <tableColumn id="45" xr3:uid="{8A2CAF55-0AC0-407B-AE1F-6203D7ED56F5}" name="Texas" dataDxfId="9"/>
    <tableColumn id="46" xr3:uid="{B4D59A68-91CC-4FE4-8BF3-0F34D9D14F04}" name="Utah" dataDxfId="8"/>
    <tableColumn id="47" xr3:uid="{3327E513-483B-4D03-A29F-58B91E3FAEF7}" name="Vermont" dataDxfId="7"/>
    <tableColumn id="48" xr3:uid="{67258617-8ACC-4FFD-B4D9-3E04111ABBC1}" name="Virginia" dataDxfId="6"/>
    <tableColumn id="49" xr3:uid="{837DE829-1623-420D-BCCD-0750DE5F7F26}" name="Washington" dataDxfId="5"/>
    <tableColumn id="50" xr3:uid="{F1B54C48-E14A-4105-8B96-3682D018E54A}" name="West Virginia" dataDxfId="4"/>
    <tableColumn id="51" xr3:uid="{F24DDCD2-06D6-460F-8595-D377C03371C6}" name="Wisconsin" dataDxfId="3"/>
    <tableColumn id="52" xr3:uid="{061EFA42-191E-4893-89A0-58C44C1A6114}" name="Wyoming" dataDxfId="2"/>
  </tableColumns>
  <tableStyleInfo name="TableStyleMedium25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B6E1A0EF-EE6D-4030-A00A-F2FA9B4C18C4}" name="Table3" displayName="Table3" ref="A1:D11" totalsRowShown="0">
  <autoFilter ref="A1:D11" xr:uid="{B6E1A0EF-EE6D-4030-A00A-F2FA9B4C18C4}"/>
  <tableColumns count="4">
    <tableColumn id="1" xr3:uid="{49A6A83A-7202-460B-A2DD-C7B00CB4F049}" name="State"/>
    <tableColumn id="2" xr3:uid="{502B8363-5266-44D7-A3C8-9975BA9811AF}" name="Sales Region"/>
    <tableColumn id="3" xr3:uid="{90A5D6D8-A7F4-4276-A926-87522DA116D5}" name="Hamburger" dataDxfId="1" dataCellStyle="Percent">
      <calculatedColumnFormula>VLOOKUP('sales region lookup'!A2, 'by search term'!B:C, 2, FALSE)</calculatedColumnFormula>
    </tableColumn>
    <tableColumn id="4" xr3:uid="{C73E8BDC-59A7-427B-A170-28D34F893A5A}" name="Milkshake" dataDxfId="0" dataCellStyle="Percent">
      <calculatedColumnFormula>_xlfn.XLOOKUP(A2, 'by search term'!B1:B52, 'by search term'!D1:D52, "not found")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table" Target="../tables/table3.xml"/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070D-FEB5-433C-82FB-B5B373CE2507}">
  <dimension ref="A1:K52"/>
  <sheetViews>
    <sheetView workbookViewId="0">
      <pane ySplit="1" topLeftCell="A26" activePane="bottomLeft" state="frozen"/>
      <selection pane="bottomLeft" sqref="A1:F52"/>
    </sheetView>
  </sheetViews>
  <sheetFormatPr defaultRowHeight="14.4" x14ac:dyDescent="0.3"/>
  <cols>
    <col min="1" max="1" width="10.21875" customWidth="1"/>
    <col min="2" max="2" width="20" bestFit="1" customWidth="1"/>
    <col min="3" max="3" width="12.33203125" bestFit="1" customWidth="1"/>
    <col min="4" max="4" width="11.33203125" customWidth="1"/>
    <col min="5" max="5" width="9.88671875" bestFit="1" customWidth="1"/>
    <col min="6" max="6" width="10.33203125" customWidth="1"/>
    <col min="7" max="7" width="10.109375" bestFit="1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t="s">
        <v>68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1" x14ac:dyDescent="0.3">
      <c r="A5">
        <v>4</v>
      </c>
      <c r="B5" t="s">
        <v>17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10</v>
      </c>
      <c r="C12" s="1">
        <v>0.64</v>
      </c>
      <c r="D12" s="1">
        <v>0.22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27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13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16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35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0.67</v>
      </c>
      <c r="D27" s="1">
        <v>0.2</v>
      </c>
      <c r="E27" s="1">
        <v>0.13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22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41</v>
      </c>
      <c r="C31" s="1">
        <v>0.67</v>
      </c>
      <c r="D31" s="1">
        <v>0.19</v>
      </c>
      <c r="E31" s="1">
        <v>0.14000000000000001</v>
      </c>
    </row>
    <row r="32" spans="1:5" x14ac:dyDescent="0.3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1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9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15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sortState xmlns:xlrd2="http://schemas.microsoft.com/office/spreadsheetml/2017/richdata2" ref="B2:E52">
    <sortCondition ref="B3:B5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1883-5C60-4263-9EF0-9FF251E1429C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Z4"/>
    </sheetView>
  </sheetViews>
  <sheetFormatPr defaultRowHeight="14.4" x14ac:dyDescent="0.3"/>
  <cols>
    <col min="2" max="2" width="10.33203125" customWidth="1"/>
    <col min="4" max="4" width="9.109375" customWidth="1"/>
    <col min="5" max="5" width="10.44140625" customWidth="1"/>
    <col min="6" max="6" width="11" customWidth="1"/>
    <col min="7" max="7" width="10.44140625" customWidth="1"/>
    <col min="8" max="8" width="13" customWidth="1"/>
    <col min="9" max="9" width="10.6640625" customWidth="1"/>
    <col min="10" max="10" width="19.44140625" customWidth="1"/>
    <col min="12" max="12" width="9.33203125" customWidth="1"/>
    <col min="16" max="16" width="9.109375" customWidth="1"/>
    <col min="19" max="19" width="10.5546875" customWidth="1"/>
    <col min="20" max="20" width="10.77734375" customWidth="1"/>
    <col min="22" max="22" width="10.5546875" customWidth="1"/>
    <col min="23" max="23" width="15.21875" customWidth="1"/>
    <col min="24" max="24" width="10.33203125" customWidth="1"/>
    <col min="25" max="25" width="11.44140625" customWidth="1"/>
    <col min="26" max="26" width="12.33203125" customWidth="1"/>
    <col min="27" max="27" width="9.88671875" customWidth="1"/>
    <col min="28" max="28" width="10" customWidth="1"/>
    <col min="29" max="29" width="10.88671875" customWidth="1"/>
    <col min="30" max="30" width="9.21875" customWidth="1"/>
    <col min="31" max="31" width="16.109375" customWidth="1"/>
    <col min="32" max="32" width="12" customWidth="1"/>
    <col min="33" max="33" width="12.77734375" customWidth="1"/>
    <col min="34" max="34" width="10.5546875" customWidth="1"/>
    <col min="35" max="35" width="14.88671875" customWidth="1"/>
    <col min="36" max="36" width="13.77734375" customWidth="1"/>
    <col min="38" max="38" width="11.44140625" customWidth="1"/>
    <col min="40" max="40" width="13.77734375" customWidth="1"/>
    <col min="41" max="41" width="13.5546875" customWidth="1"/>
    <col min="42" max="42" width="15" customWidth="1"/>
    <col min="43" max="43" width="13.88671875" customWidth="1"/>
    <col min="44" max="44" width="11.5546875" customWidth="1"/>
    <col min="47" max="47" width="10" customWidth="1"/>
    <col min="48" max="48" width="9.21875" customWidth="1"/>
    <col min="49" max="49" width="12.5546875" customWidth="1"/>
    <col min="50" max="50" width="13.77734375" customWidth="1"/>
    <col min="51" max="51" width="11.44140625" customWidth="1"/>
    <col min="52" max="52" width="10.5546875" customWidth="1"/>
  </cols>
  <sheetData>
    <row r="1" spans="1:52" x14ac:dyDescent="0.3">
      <c r="A1" t="s">
        <v>0</v>
      </c>
      <c r="B1" t="s">
        <v>5</v>
      </c>
      <c r="C1" t="s">
        <v>49</v>
      </c>
      <c r="D1" t="s">
        <v>29</v>
      </c>
      <c r="E1" t="s">
        <v>17</v>
      </c>
      <c r="F1" t="s">
        <v>33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10</v>
      </c>
      <c r="M1" t="s">
        <v>50</v>
      </c>
      <c r="N1" t="s">
        <v>27</v>
      </c>
      <c r="O1" t="s">
        <v>13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16</v>
      </c>
      <c r="Y1" t="s">
        <v>35</v>
      </c>
      <c r="Z1" t="s">
        <v>25</v>
      </c>
      <c r="AA1" t="s">
        <v>21</v>
      </c>
      <c r="AB1" t="s">
        <v>48</v>
      </c>
      <c r="AC1" t="s">
        <v>36</v>
      </c>
      <c r="AD1" t="s">
        <v>22</v>
      </c>
      <c r="AE1" t="s">
        <v>41</v>
      </c>
      <c r="AF1" t="s">
        <v>20</v>
      </c>
      <c r="AG1" t="s">
        <v>43</v>
      </c>
      <c r="AH1" t="s">
        <v>39</v>
      </c>
      <c r="AI1" t="s">
        <v>1</v>
      </c>
      <c r="AJ1" t="s">
        <v>34</v>
      </c>
      <c r="AK1" t="s">
        <v>12</v>
      </c>
      <c r="AL1" t="s">
        <v>14</v>
      </c>
      <c r="AM1" t="s">
        <v>37</v>
      </c>
      <c r="AN1" t="s">
        <v>11</v>
      </c>
      <c r="AO1" t="s">
        <v>8</v>
      </c>
      <c r="AP1" t="s">
        <v>2</v>
      </c>
      <c r="AQ1" t="s">
        <v>44</v>
      </c>
      <c r="AR1" t="s">
        <v>4</v>
      </c>
      <c r="AS1" t="s">
        <v>31</v>
      </c>
      <c r="AT1" t="s">
        <v>7</v>
      </c>
      <c r="AU1" t="s">
        <v>47</v>
      </c>
      <c r="AV1" t="s">
        <v>9</v>
      </c>
      <c r="AW1" t="s">
        <v>40</v>
      </c>
      <c r="AX1" t="s">
        <v>15</v>
      </c>
      <c r="AY1" t="s">
        <v>30</v>
      </c>
      <c r="AZ1" t="s">
        <v>46</v>
      </c>
    </row>
    <row r="2" spans="1:52" x14ac:dyDescent="0.3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0.63</v>
      </c>
      <c r="L2" s="1">
        <v>0.64</v>
      </c>
      <c r="M2" s="1">
        <v>0.73</v>
      </c>
      <c r="N2" s="1">
        <v>0.68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0.67</v>
      </c>
      <c r="AB2" s="1">
        <v>0.75</v>
      </c>
      <c r="AC2" s="1">
        <v>0.69</v>
      </c>
      <c r="AD2" s="1">
        <v>0.66</v>
      </c>
      <c r="AE2" s="1">
        <v>0.67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0.24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969A-12C8-4BD1-BD22-5A4AE2610D89}">
  <dimension ref="A1:D32"/>
  <sheetViews>
    <sheetView tabSelected="1" workbookViewId="0">
      <selection activeCell="L8" sqref="L8"/>
    </sheetView>
  </sheetViews>
  <sheetFormatPr defaultRowHeight="14.4" x14ac:dyDescent="0.3"/>
  <cols>
    <col min="1" max="1" width="12.44140625" style="4" bestFit="1" customWidth="1"/>
    <col min="2" max="2" width="16.44140625" bestFit="1" customWidth="1"/>
    <col min="3" max="3" width="15.5546875" bestFit="1" customWidth="1"/>
    <col min="4" max="4" width="11.33203125" customWidth="1"/>
  </cols>
  <sheetData>
    <row r="1" spans="1:4" x14ac:dyDescent="0.3">
      <c r="A1" s="4" t="s">
        <v>59</v>
      </c>
      <c r="B1" t="s">
        <v>60</v>
      </c>
      <c r="C1" t="s">
        <v>56</v>
      </c>
      <c r="D1" t="s">
        <v>57</v>
      </c>
    </row>
    <row r="2" spans="1:4" x14ac:dyDescent="0.3">
      <c r="A2" s="4" t="s">
        <v>40</v>
      </c>
      <c r="B2" t="s">
        <v>61</v>
      </c>
      <c r="C2" s="6">
        <f>VLOOKUP('sales region lookup'!A2, 'by search term'!B:C, 2, FALSE)</f>
        <v>0.67</v>
      </c>
      <c r="D2" s="6">
        <f>_xlfn.XLOOKUP(A2, 'by search term'!B1:B52, 'by search term'!D1:D52, "not found")</f>
        <v>0.18</v>
      </c>
    </row>
    <row r="3" spans="1:4" x14ac:dyDescent="0.3">
      <c r="A3" t="s">
        <v>37</v>
      </c>
      <c r="B3" t="s">
        <v>61</v>
      </c>
      <c r="C3" s="6">
        <f>VLOOKUP('sales region lookup'!A3, 'by search term'!B:C, 2, FALSE)</f>
        <v>0.69</v>
      </c>
      <c r="D3" s="6">
        <f>_xlfn.XLOOKUP(A3, 'by search term'!B2:B53, 'by search term'!D2:D53, "not found")</f>
        <v>0.18</v>
      </c>
    </row>
    <row r="4" spans="1:4" x14ac:dyDescent="0.3">
      <c r="A4" t="s">
        <v>27</v>
      </c>
      <c r="B4" t="s">
        <v>61</v>
      </c>
      <c r="C4" s="6">
        <f>VLOOKUP('sales region lookup'!A4, 'by search term'!B:C, 2, FALSE)</f>
        <v>0.68</v>
      </c>
      <c r="D4" s="6">
        <f>_xlfn.XLOOKUP(A4, 'by search term'!B3:B54, 'by search term'!D3:D54, "not found")</f>
        <v>0.19</v>
      </c>
    </row>
    <row r="5" spans="1:4" x14ac:dyDescent="0.3">
      <c r="A5" t="s">
        <v>48</v>
      </c>
      <c r="B5" t="s">
        <v>61</v>
      </c>
      <c r="C5" s="6">
        <f>VLOOKUP('sales region lookup'!A5, 'by search term'!B:C, 2, FALSE)</f>
        <v>0.75</v>
      </c>
      <c r="D5" s="6">
        <f>_xlfn.XLOOKUP(A5, 'by search term'!B4:B55, 'by search term'!D4:D55, "not found")</f>
        <v>0.14000000000000001</v>
      </c>
    </row>
    <row r="6" spans="1:4" x14ac:dyDescent="0.3">
      <c r="A6" s="4" t="s">
        <v>34</v>
      </c>
      <c r="B6" t="s">
        <v>62</v>
      </c>
      <c r="C6" s="6">
        <f>VLOOKUP('sales region lookup'!A6, 'by search term'!B:C, 2, FALSE)</f>
        <v>0.69</v>
      </c>
      <c r="D6" s="6">
        <f>_xlfn.XLOOKUP(A6, 'by search term'!B5:B56, 'by search term'!D5:D56, "not found")</f>
        <v>0.19</v>
      </c>
    </row>
    <row r="7" spans="1:4" x14ac:dyDescent="0.3">
      <c r="A7" t="s">
        <v>44</v>
      </c>
      <c r="B7" t="s">
        <v>62</v>
      </c>
      <c r="C7" s="6">
        <f>VLOOKUP('sales region lookup'!A7, 'by search term'!B:C, 2, FALSE)</f>
        <v>0.75</v>
      </c>
      <c r="D7" s="6">
        <f>_xlfn.XLOOKUP(A7, 'by search term'!B6:B57, 'by search term'!D6:D57, "not found")</f>
        <v>0.14000000000000001</v>
      </c>
    </row>
    <row r="8" spans="1:4" x14ac:dyDescent="0.3">
      <c r="A8" t="s">
        <v>36</v>
      </c>
      <c r="B8" t="s">
        <v>62</v>
      </c>
      <c r="C8" s="6">
        <f>VLOOKUP('sales region lookup'!A8, 'by search term'!B:C, 2, FALSE)</f>
        <v>0.69</v>
      </c>
      <c r="D8" s="6">
        <f>_xlfn.XLOOKUP(A8, 'by search term'!B7:B58, 'by search term'!D7:D58, "not found")</f>
        <v>0.17</v>
      </c>
    </row>
    <row r="9" spans="1:4" x14ac:dyDescent="0.3">
      <c r="A9" t="s">
        <v>35</v>
      </c>
      <c r="B9" t="s">
        <v>62</v>
      </c>
      <c r="C9" s="6">
        <f>VLOOKUP('sales region lookup'!A9, 'by search term'!B:C, 2, FALSE)</f>
        <v>0.67</v>
      </c>
      <c r="D9" s="6">
        <f>_xlfn.XLOOKUP(A9, 'by search term'!B8:B59, 'by search term'!D8:D59, "not found")</f>
        <v>0.19</v>
      </c>
    </row>
    <row r="10" spans="1:4" x14ac:dyDescent="0.3">
      <c r="A10" t="s">
        <v>30</v>
      </c>
      <c r="B10" t="s">
        <v>62</v>
      </c>
      <c r="C10" s="6">
        <f>VLOOKUP('sales region lookup'!A10, 'by search term'!B:C, 2, FALSE)</f>
        <v>0.66</v>
      </c>
      <c r="D10" s="6">
        <f>_xlfn.XLOOKUP(A10, 'by search term'!B9:B60, 'by search term'!D9:D60, "not found")</f>
        <v>0.2</v>
      </c>
    </row>
    <row r="11" spans="1:4" x14ac:dyDescent="0.3">
      <c r="A11" t="s">
        <v>16</v>
      </c>
      <c r="B11" t="s">
        <v>62</v>
      </c>
      <c r="C11" s="6">
        <f>VLOOKUP('sales region lookup'!A11, 'by search term'!B:C, 2, FALSE)</f>
        <v>0.65</v>
      </c>
      <c r="D11" s="6">
        <f>_xlfn.XLOOKUP(A11, 'by search term'!B10:B61, 'by search term'!D10:D61, "not found")</f>
        <v>0.21</v>
      </c>
    </row>
    <row r="12" spans="1:4" x14ac:dyDescent="0.3">
      <c r="A12"/>
    </row>
    <row r="13" spans="1:4" x14ac:dyDescent="0.3">
      <c r="A13" s="7" t="s">
        <v>60</v>
      </c>
      <c r="B13" t="s">
        <v>65</v>
      </c>
    </row>
    <row r="15" spans="1:4" x14ac:dyDescent="0.3">
      <c r="A15" s="7" t="s">
        <v>63</v>
      </c>
      <c r="B15" t="s">
        <v>66</v>
      </c>
      <c r="C15" t="s">
        <v>67</v>
      </c>
    </row>
    <row r="16" spans="1:4" x14ac:dyDescent="0.3">
      <c r="A16" s="5" t="s">
        <v>27</v>
      </c>
      <c r="B16" s="1">
        <v>0.68</v>
      </c>
      <c r="C16" s="1">
        <v>0.19</v>
      </c>
    </row>
    <row r="17" spans="1:3" x14ac:dyDescent="0.3">
      <c r="A17" s="5" t="s">
        <v>16</v>
      </c>
      <c r="B17" s="1">
        <v>0.65</v>
      </c>
      <c r="C17" s="1">
        <v>0.21</v>
      </c>
    </row>
    <row r="18" spans="1:3" x14ac:dyDescent="0.3">
      <c r="A18" s="5" t="s">
        <v>35</v>
      </c>
      <c r="B18" s="1">
        <v>0.67</v>
      </c>
      <c r="C18" s="1">
        <v>0.19</v>
      </c>
    </row>
    <row r="19" spans="1:3" x14ac:dyDescent="0.3">
      <c r="A19" s="5" t="s">
        <v>48</v>
      </c>
      <c r="B19" s="1">
        <v>0.75</v>
      </c>
      <c r="C19" s="1">
        <v>0.14000000000000001</v>
      </c>
    </row>
    <row r="20" spans="1:3" x14ac:dyDescent="0.3">
      <c r="A20" s="5" t="s">
        <v>36</v>
      </c>
      <c r="B20" s="1">
        <v>0.69</v>
      </c>
      <c r="C20" s="1">
        <v>0.17</v>
      </c>
    </row>
    <row r="21" spans="1:3" x14ac:dyDescent="0.3">
      <c r="A21" s="5" t="s">
        <v>34</v>
      </c>
      <c r="B21" s="1">
        <v>0.69</v>
      </c>
      <c r="C21" s="1">
        <v>0.19</v>
      </c>
    </row>
    <row r="22" spans="1:3" x14ac:dyDescent="0.3">
      <c r="A22" s="5" t="s">
        <v>37</v>
      </c>
      <c r="B22" s="1">
        <v>0.69</v>
      </c>
      <c r="C22" s="1">
        <v>0.18</v>
      </c>
    </row>
    <row r="23" spans="1:3" x14ac:dyDescent="0.3">
      <c r="A23" s="5" t="s">
        <v>44</v>
      </c>
      <c r="B23" s="1">
        <v>0.75</v>
      </c>
      <c r="C23" s="1">
        <v>0.14000000000000001</v>
      </c>
    </row>
    <row r="24" spans="1:3" x14ac:dyDescent="0.3">
      <c r="A24" s="5" t="s">
        <v>40</v>
      </c>
      <c r="B24" s="1">
        <v>0.67</v>
      </c>
      <c r="C24" s="1">
        <v>0.18</v>
      </c>
    </row>
    <row r="25" spans="1:3" x14ac:dyDescent="0.3">
      <c r="A25" s="5" t="s">
        <v>30</v>
      </c>
      <c r="B25" s="1">
        <v>0.66</v>
      </c>
      <c r="C25" s="1">
        <v>0.2</v>
      </c>
    </row>
    <row r="26" spans="1:3" x14ac:dyDescent="0.3">
      <c r="A26" s="5" t="s">
        <v>64</v>
      </c>
      <c r="B26" s="1">
        <v>6.9</v>
      </c>
      <c r="C26" s="1">
        <v>1.79</v>
      </c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2026-10-15T19:00:39Z</dcterms:created>
  <dcterms:modified xsi:type="dcterms:W3CDTF">2026-10-16T09:34:10Z</dcterms:modified>
</cp:coreProperties>
</file>